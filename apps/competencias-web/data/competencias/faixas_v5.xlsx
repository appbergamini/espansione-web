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Faixas" sheetId="2" state="visible" r:id="rId4"/>
    <sheet name="Leitura por Competencia" sheetId="3" state="visible" r:id="rId5"/>
    <sheet name="Regra de Trilha" sheetId="4" state="visible" r:id="rId6"/>
    <sheet name="Cautel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<sst xmlns="http://schemas.openxmlformats.org/spreadsheetml/2006/main" count="203" uniqueCount="170">
  <si>
    <t xml:space="preserve">MATRIZ DE TRILHAS v5 — MODELO DE FAIXAS DESEJADAS</t>
  </si>
  <si>
    <t xml:space="preserve">12 competências × 4 pilares · faixa desejada definida por competência · Agosto 2026</t>
  </si>
  <si>
    <t xml:space="preserve">O QUE MUDOU DA v4</t>
  </si>
  <si>
    <t xml:space="preserve">A v4 usava habilitador e inibidor — direção fixa por pilar. A v5 usa FAIXA DESEJADA: cada competência define, para cada pilar, a faixa em que aquele comportamento contribui. Ficar fora da faixa por cima ou por baixo é igualmente um ponto de atenção.</t>
  </si>
  <si>
    <t xml:space="preserve">POR QUE A FAIXA É MELHOR</t>
  </si>
  <si>
    <t xml:space="preserve">1. O mesmo score gera leituras diferentes conforme a competência. Precisão 72 pode ser aderente em Gestão de recursos e não aderente em Iniciativa. O relatório se diferencia sozinho.</t>
  </si>
  <si>
    <t xml:space="preserve">2. Elimina a monotonia. Na v4, Precisão aparecia como inibidor em 7 das 12 e o relatório repetia o mesmo diagnóstico. Com faixa, cada competência tem seu próprio critério.</t>
  </si>
  <si>
    <t xml:space="preserve">3. A curvilinearidade deixa de ser exceção e vira o comportamento padrão do sistema.</t>
  </si>
  <si>
    <t xml:space="preserve">4. Permite dizer que um pilar é IRRELEVANTE para uma competência (faixa LIVRE), o que a v4 não conseguia.</t>
  </si>
  <si>
    <t xml:space="preserve">REGRA DE VIABILIDADE — CRÍTICA</t>
  </si>
  <si>
    <t xml:space="preserve">Os 4 pilares somam 200. Portanto NÃO é possível exigir três pilares altos ao mesmo tempo: 70+70+70 = 210 estoura o orçamento e marcaria todo respondente como não aderente.</t>
  </si>
  <si>
    <t xml:space="preserve">VALIDAÇÃO: a soma dos pontos médios das 4 faixas de cada competência deve ficar entre 185 e 215. A coluna de checagem na aba Faixas calcula isso automaticamente.</t>
  </si>
  <si>
    <t xml:space="preserve">REGRA DE ADERÊNCIA</t>
  </si>
  <si>
    <t xml:space="preserve">Dentro da faixa = ADERENTE (contribuição) · Fora por cima = EXCESSO · Fora por baixo = FALTA.</t>
  </si>
  <si>
    <t xml:space="preserve">O relatório nomeia no máximo 3 pilares por competência, priorizando os fora de faixa.</t>
  </si>
  <si>
    <t xml:space="preserve">CONFIANÇA DA LEITURA</t>
  </si>
  <si>
    <t xml:space="preserve">Nem toda competência é bem explicada por comportamento. As marcadas como BAIXA na coluna Confiança têm faixas apenas indicativas — o comportamento explica pouco daquela competência. Seguir a prática do instrumento de referência e sinalizar isso ao cliente em vez de fingir precisão.</t>
  </si>
  <si>
    <t xml:space="preserve">ABAS</t>
  </si>
  <si>
    <t xml:space="preserve">Faixas · Leitura por Competencia · Regra de Trilha · Cautelas</t>
  </si>
  <si>
    <t xml:space="preserve">FAIXAS DESEJADAS POR COMPETÊNCIA</t>
  </si>
  <si>
    <t xml:space="preserve">Faixa = intervalo em que o pilar contribui para aquela competência. Fora dela, por qualquer lado, é ponto de atenção.</t>
  </si>
  <si>
    <t xml:space="preserve">Capacidade</t>
  </si>
  <si>
    <t xml:space="preserve">Competência</t>
  </si>
  <si>
    <t xml:space="preserve">DETERMINAÇÃO
mín</t>
  </si>
  <si>
    <t xml:space="preserve">máx</t>
  </si>
  <si>
    <t xml:space="preserve">CONEXÃO
mín</t>
  </si>
  <si>
    <t xml:space="preserve">CONSTÂNCIA
mín</t>
  </si>
  <si>
    <t xml:space="preserve">PRECISÃO
mín</t>
  </si>
  <si>
    <t xml:space="preserve">Soma dos
pontos médios</t>
  </si>
  <si>
    <t xml:space="preserve">Viável?</t>
  </si>
  <si>
    <t xml:space="preserve">Confiança</t>
  </si>
  <si>
    <t xml:space="preserve">Observação</t>
  </si>
  <si>
    <t xml:space="preserve">Sustentar-se</t>
  </si>
  <si>
    <t xml:space="preserve">Autoconsciência e autoeficácia</t>
  </si>
  <si>
    <t xml:space="preserve">MÉDIA</t>
  </si>
  <si>
    <t xml:space="preserve">Determinação em faixa média: alguma para autoeficácia, muita bloqueia autocrítica.</t>
  </si>
  <si>
    <t xml:space="preserve">Persistir e ajustar</t>
  </si>
  <si>
    <t xml:space="preserve">ALTA</t>
  </si>
  <si>
    <t xml:space="preserve">Constância alta sustenta; Precisão alta transforma persistência em insistência.</t>
  </si>
  <si>
    <t xml:space="preserve">Coerência ética</t>
  </si>
  <si>
    <t xml:space="preserve">BAIXA</t>
  </si>
  <si>
    <t xml:space="preserve">Valores não são estilo comportamental. Faixa indicativa; não usar como diagnóstico forte.</t>
  </si>
  <si>
    <t xml:space="preserve">Decidir</t>
  </si>
  <si>
    <t xml:space="preserve">Leitura de oportunidade e de cliente</t>
  </si>
  <si>
    <t xml:space="preserve">Oposição limpa: escuta pede Conexão e Constância; Precisão alta corta a conversa.</t>
  </si>
  <si>
    <t xml:space="preserve">Julgamento sob incerteza</t>
  </si>
  <si>
    <t xml:space="preserve">Precisão em faixa estreita nos dois lados: baixa = risco não calculado; alta = paralisia.</t>
  </si>
  <si>
    <t xml:space="preserve">Direção e modelo de negócio</t>
  </si>
  <si>
    <t xml:space="preserve">Exige Constância e Precisão juntas — orçamento apertado, deixa pouco para os outros dois.</t>
  </si>
  <si>
    <t xml:space="preserve">Traduzir Valor</t>
  </si>
  <si>
    <t xml:space="preserve">Formular a proposta de valor</t>
  </si>
  <si>
    <t xml:space="preserve">Precisão alta não simplifica: quer dizer tudo, e nada fica.</t>
  </si>
  <si>
    <t xml:space="preserve">Comunicar e posicionar</t>
  </si>
  <si>
    <t xml:space="preserve">A faixa mais exigente em Conexão do modelo inteiro.</t>
  </si>
  <si>
    <t xml:space="preserve">Vender, negociar e relacionar</t>
  </si>
  <si>
    <t xml:space="preserve">Pede as duas pontas: firmeza para pedir e conexão para conquistar. Constância alta espera demais.</t>
  </si>
  <si>
    <t xml:space="preserve">Fazer Acontecer</t>
  </si>
  <si>
    <t xml:space="preserve">Iniciativa e experimentação</t>
  </si>
  <si>
    <t xml:space="preserve">A faixa mais exigente em Determinação. Precisão alta: o teste nunca fica pronto.</t>
  </si>
  <si>
    <t xml:space="preserve">Gestão de recursos e operação</t>
  </si>
  <si>
    <t xml:space="preserve">Espelho de Iniciativa. Determinação alta compromete recurso sem base.</t>
  </si>
  <si>
    <t xml:space="preserve">Liderar e mobilizar pessoas</t>
  </si>
  <si>
    <t xml:space="preserve">Precisão alta refaz o trabalho do outro — não delega.</t>
  </si>
  <si>
    <t xml:space="preserve">Faixas de v1, definidas por julgamento a partir da lógica de habilitador e inibidor da versão anterior. Recalibrar com os primeiros 200 casos: comparar a faixa proposta com a distribuição real de quem tem a competência forte, e ajustar. Até lá, tratar como hipótese testável, não como norma.</t>
  </si>
  <si>
    <t xml:space="preserve">LEITURA POR POSIÇÃO NA FAIXA</t>
  </si>
  <si>
    <t xml:space="preserve">Texto de referência para cada competência conforme o pilar esteja em falta, aderente ou em excesso.</t>
  </si>
  <si>
    <t xml:space="preserve">Pilar crítico</t>
  </si>
  <si>
    <t xml:space="preserve">ABAIXO da faixa (falta)</t>
  </si>
  <si>
    <t xml:space="preserve">DENTRO da faixa (contribuição)</t>
  </si>
  <si>
    <t xml:space="preserve">ACIMA da faixa (excesso)</t>
  </si>
  <si>
    <t xml:space="preserve">Precisão</t>
  </si>
  <si>
    <t xml:space="preserve">Age sem checar o efeito que causa</t>
  </si>
  <si>
    <t xml:space="preserve">Reflete sem travar</t>
  </si>
  <si>
    <t xml:space="preserve">Corta a reflexão antes que ela aconteça</t>
  </si>
  <si>
    <t xml:space="preserve">Constância</t>
  </si>
  <si>
    <t xml:space="preserve">Abandona antes do resultado aparecer</t>
  </si>
  <si>
    <t xml:space="preserve">Atravessa e ajusta</t>
  </si>
  <si>
    <t xml:space="preserve">Sustenta além do que faz sentido</t>
  </si>
  <si>
    <t xml:space="preserve">Determinação</t>
  </si>
  <si>
    <t xml:space="preserve">Cede diante de pressão</t>
  </si>
  <si>
    <t xml:space="preserve">Sustenta a posição com equilíbrio</t>
  </si>
  <si>
    <t xml:space="preserve">Decide sozinho, sem freio externo</t>
  </si>
  <si>
    <t xml:space="preserve">Conexão</t>
  </si>
  <si>
    <t xml:space="preserve">Não abre a conversa</t>
  </si>
  <si>
    <t xml:space="preserve">Escuta e extrai padrão</t>
  </si>
  <si>
    <t xml:space="preserve">Fala mais do que escuta</t>
  </si>
  <si>
    <t xml:space="preserve">Arrisca sem calcular a perda</t>
  </si>
  <si>
    <t xml:space="preserve">Calcula e decide</t>
  </si>
  <si>
    <t xml:space="preserve">Paralisa buscando mais informação</t>
  </si>
  <si>
    <t xml:space="preserve">Fecha direção sem consultar</t>
  </si>
  <si>
    <t xml:space="preserve">Escolhe e comunica</t>
  </si>
  <si>
    <t xml:space="preserve">Abraça toda oportunidade nova, não fecha nada</t>
  </si>
  <si>
    <t xml:space="preserve">Promete o que não entrega</t>
  </si>
  <si>
    <t xml:space="preserve">Estrutura sem engessar</t>
  </si>
  <si>
    <t xml:space="preserve">Não consegue simplificar: quer dizer tudo</t>
  </si>
  <si>
    <t xml:space="preserve">Comunica sem conquistar</t>
  </si>
  <si>
    <t xml:space="preserve">Convence e engaja</t>
  </si>
  <si>
    <t xml:space="preserve">Encanta sem sustentar</t>
  </si>
  <si>
    <t xml:space="preserve">Não pede o fechamento nem defende preço</t>
  </si>
  <si>
    <t xml:space="preserve">Propõe com firmeza</t>
  </si>
  <si>
    <t xml:space="preserve">Pressiona e queima o relacionamento</t>
  </si>
  <si>
    <t xml:space="preserve">Espera autorização para agir</t>
  </si>
  <si>
    <t xml:space="preserve">Começa e testa barato</t>
  </si>
  <si>
    <t xml:space="preserve">Age sem critério e não fecha</t>
  </si>
  <si>
    <t xml:space="preserve">Não acompanha o que gasta</t>
  </si>
  <si>
    <t xml:space="preserve">Controla sem burocratizar</t>
  </si>
  <si>
    <t xml:space="preserve">Controla tanto que trava a operação</t>
  </si>
  <si>
    <t xml:space="preserve">Delega sem acompanhar</t>
  </si>
  <si>
    <t xml:space="preserve">Confia e cobra</t>
  </si>
  <si>
    <t xml:space="preserve">Refaz o trabalho do outro — não delega</t>
  </si>
  <si>
    <t xml:space="preserve">REGRAS EDITORIAIS</t>
  </si>
  <si>
    <t xml:space="preserve">Quantos pilares citar</t>
  </si>
  <si>
    <t xml:space="preserve">No máximo 3 por competência. Priorizar os fora de faixa.</t>
  </si>
  <si>
    <t xml:space="preserve">Se todos dentro da faixa</t>
  </si>
  <si>
    <t xml:space="preserve">Dizer isso explicitamente: 'sem pontos de atenção comportamentais nesta competência'. O instrumento de referência faz assim e é honesto.</t>
  </si>
  <si>
    <t xml:space="preserve">Léxico</t>
  </si>
  <si>
    <t xml:space="preserve">Nomear a característica do pilar conforme o contexto, nunca duas do mesmo pilar.</t>
  </si>
  <si>
    <t xml:space="preserve">Confiança BAIXA</t>
  </si>
  <si>
    <t xml:space="preserve">Sinalizar ao cliente que a leitura comportamental explica pouco daquela competência.</t>
  </si>
  <si>
    <t xml:space="preserve">Nunca dizer</t>
  </si>
  <si>
    <t xml:space="preserve">'deficiente', 'fraco', 'problema', nem DISC, Dominância, Influência, Estabilidade, Conformidade.</t>
  </si>
  <si>
    <t xml:space="preserve">QA obrigatório</t>
  </si>
  <si>
    <t xml:space="preserve">Checar chaves de tradução não resolvidas antes de publicar. O relatório de referência vazou uma chave crua no corpo do texto — erro barato de evitar e caro de explicar.</t>
  </si>
  <si>
    <t xml:space="preserve">REGRA DE ACIONAMENTO DA TRILHA</t>
  </si>
  <si>
    <t xml:space="preserve">Aplicada a cada competência frágil ou em formação</t>
  </si>
  <si>
    <t xml:space="preserve">Ordem</t>
  </si>
  <si>
    <t xml:space="preserve">Condição</t>
  </si>
  <si>
    <t xml:space="preserve">Diagnóstico</t>
  </si>
  <si>
    <t xml:space="preserve">Rota</t>
  </si>
  <si>
    <t xml:space="preserve">1</t>
  </si>
  <si>
    <t xml:space="preserve">Pilar ACIMA da faixa</t>
  </si>
  <si>
    <t xml:space="preserve">Fragilidade por EXCESSO. Padrão invisível — a pessoa não sabe que a própria força atrapalha.</t>
  </si>
  <si>
    <t xml:space="preserve">REGULAR. Prioridade sobre o caso de falta.</t>
  </si>
  <si>
    <t xml:space="preserve">2</t>
  </si>
  <si>
    <t xml:space="preserve">Pilar ABAIXO da faixa</t>
  </si>
  <si>
    <t xml:space="preserve">Fragilidade por FALTA. A pessoa costuma sentir e reconhecer.</t>
  </si>
  <si>
    <t xml:space="preserve">DESENVOLVER.</t>
  </si>
  <si>
    <t xml:space="preserve">3</t>
  </si>
  <si>
    <t xml:space="preserve">Dois ou mais pilares fora</t>
  </si>
  <si>
    <t xml:space="preserve">Padrão múltiplo.</t>
  </si>
  <si>
    <t xml:space="preserve">Tratar o excesso primeiro. Um pilar por ciclo.</t>
  </si>
  <si>
    <t xml:space="preserve">3b</t>
  </si>
  <si>
    <t xml:space="preserve">Pilar fora, mas dificilmente desenvolvível ou não exigido pelo papel</t>
  </si>
  <si>
    <t xml:space="preserve">Nem todo desvio deve ser corrigido. Fundador com Precisão baixa não vira detalhista com curso.</t>
  </si>
  <si>
    <t xml:space="preserve">COMPENSAR: processo, parceria, contratação, delegação.</t>
  </si>
  <si>
    <t xml:space="preserve">4</t>
  </si>
  <si>
    <t xml:space="preserve">Todos os pilares DENTRO da faixa</t>
  </si>
  <si>
    <t xml:space="preserve">Fragilidade TÉCNICA, não comportamental. A pessoa simplesmente não sabe fazer.</t>
  </si>
  <si>
    <t xml:space="preserve">Conteúdo puramente técnico. NÃO acionar módulo comportamental.</t>
  </si>
  <si>
    <t xml:space="preserve">5</t>
  </si>
  <si>
    <t xml:space="preserve">Competência com Confiança BAIXA</t>
  </si>
  <si>
    <t xml:space="preserve">A leitura comportamental explica pouco.</t>
  </si>
  <si>
    <t xml:space="preserve">Não gerar recomendação comportamental. Sinalizar a limitação.</t>
  </si>
  <si>
    <t xml:space="preserve">ÍNDICE DE ADERÊNCIA COMPORTAMENTAL</t>
  </si>
  <si>
    <t xml:space="preserve">Métrica derivada, gratuita: percentual de pilares dentro da faixa somando as 12 competências (48 checagens).</t>
  </si>
  <si>
    <t xml:space="preserve">Alta aderência = o perfil comportamental favorece o conjunto de competências exigidas do dono de PME.</t>
  </si>
  <si>
    <t xml:space="preserve">Baixa aderência = há tensão estrutural entre o perfil e o papel. Isso é conversa de próximo estágio, não de treinamento — e é gancho comercial forte.</t>
  </si>
  <si>
    <t xml:space="preserve">Atenção: por causa da soma 200, ninguém fica dentro de todas as 48. Aderência de 100% é impossível por construção. Calibrar a expectativa com a distribuição real da base.</t>
  </si>
  <si>
    <t xml:space="preserve">CAUTELAS TÉCNICAS</t>
  </si>
  <si>
    <t xml:space="preserve">DIFERENÇA ESTRUTURAL PARA O INSTRUMENTO DE REFERÊNCIA</t>
  </si>
  <si>
    <t xml:space="preserve">O modelo de referência trabalha com 24 características em decis normativos, razoavelmente independentes. O nosso trabalha com 4 pilares que somam 200. As faixas funcionam nos dois, mas o nosso tem restrição de orçamento que o outro não tem.</t>
  </si>
  <si>
    <t xml:space="preserve">CONSEQUÊNCIAS DA SOMA 200</t>
  </si>
  <si>
    <t xml:space="preserve">· No máximo dois pilares podem ter faixa alta simultânea numa mesma competência.</t>
  </si>
  <si>
    <t xml:space="preserve">· Ninguém fica dentro das 48 faixas. Aderência total é impossível por construção.</t>
  </si>
  <si>
    <t xml:space="preserve">· Norma percentílica precisa ser do PERFIL, não do pilar isolado.</t>
  </si>
  <si>
    <t xml:space="preserve">STATUS DAS FAIXAS</t>
  </si>
  <si>
    <t xml:space="preserve">Definidas por julgamento, derivadas da lógica de habilitador e inibidor da versão anterior. São hipóteses testáveis, não normas validadas.</t>
  </si>
  <si>
    <t xml:space="preserve">CALIBRAÇÃO: com 200 casos, comparar a distribuição de quem tem a competência avaliada como forte contra a faixa proposta. Onde a faixa não separar forte de fraco, ela está errada e deve ser reescrita ou marcada como Confiança BAIXA.</t>
  </si>
  <si>
    <t xml:space="preserve">PENDÊNCIA AGORA DESBLOQUEADA</t>
  </si>
  <si>
    <t xml:space="preserve">A taxonomia do acervo ficou visível: 24 características em três famílias — Estratégica (5), Laboral (10) e Relacional (9). O de-para dos 4 pilares para essas 24 é o último elo que falta para o motor saber qual conteúdo entregar depois de identificar o pilar fora de faixa.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</si>
</sst>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6233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6233F"/>
      <name val="Arial"/>
      <family val="0"/>
      <charset val="1"/>
    </font>
    <font>
      <sz val="10"/>
      <color rgb="FFB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6233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8A6A2B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2E6B3E"/>
      <name val="Arial"/>
      <family val="0"/>
      <charset val="1"/>
    </font>
    <font>
      <b val="true"/>
      <sz val="9"/>
      <color rgb="FFB00000"/>
      <name val="Arial"/>
      <family val="0"/>
      <charset val="1"/>
    </font>
    <font>
      <sz val="9"/>
      <color rgb="FF6B6B6B"/>
      <name val="Arial"/>
      <family val="0"/>
      <charset val="1"/>
    </font>
    <font>
      <sz val="9"/>
      <color rgb="FF8A6A2B"/>
      <name val="Arial"/>
      <family val="0"/>
      <charset val="1"/>
    </font>
    <font>
      <sz val="9"/>
      <color rgb="FF2E6B3E"/>
      <name val="Arial"/>
      <family val="0"/>
      <charset val="1"/>
    </font>
    <font>
      <sz val="9"/>
      <color rgb="FFB00000"/>
      <name val="Arial"/>
      <family val="0"/>
      <charset val="1"/>
    </font>
    <font>
      <b val="true"/>
      <sz val="11"/>
      <color rgb="FF16233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894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00000"/>
        <sz val="9"/>
      </font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2E6B3E"/>
      <rgbColor rgb="FF000080"/>
      <rgbColor rgb="FF8A6A2B"/>
      <rgbColor rgb="FF800080"/>
      <rgbColor rgb="FF008080"/>
      <rgbColor rgb="FFC0C0C0"/>
      <rgbColor rgb="FF808080"/>
      <rgbColor rgb="FF9999FF"/>
      <rgbColor rgb="FF993366"/>
      <rgbColor rgb="FFFFE0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B8894B"/>
      <rgbColor rgb="FF003366"/>
      <rgbColor rgb="FF339966"/>
      <rgbColor rgb="FF003300"/>
      <rgbColor rgb="FF333300"/>
      <rgbColor rgb="FF993300"/>
      <rgbColor rgb="FF993366"/>
      <rgbColor rgb="FF333399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/>
      <c r="B4" s="3"/>
      <c r="C4" s="3"/>
    </row>
    <row r="5" customFormat="false" ht="15" hidden="false" customHeight="true" outlineLevel="0" collapsed="false">
      <c r="A5" s="4" t="s">
        <v>2</v>
      </c>
      <c r="B5" s="4"/>
      <c r="C5" s="4"/>
    </row>
    <row r="6" customFormat="false" ht="30" hidden="false" customHeight="true" outlineLevel="0" collapsed="false">
      <c r="A6" s="3" t="s">
        <v>3</v>
      </c>
      <c r="B6" s="3"/>
      <c r="C6" s="3"/>
    </row>
    <row r="7" customFormat="false" ht="15" hidden="false" customHeight="true" outlineLevel="0" collapsed="false">
      <c r="A7" s="3"/>
      <c r="B7" s="3"/>
      <c r="C7" s="3"/>
    </row>
    <row r="8" customFormat="false" ht="15" hidden="false" customHeight="true" outlineLevel="0" collapsed="false">
      <c r="A8" s="4" t="s">
        <v>4</v>
      </c>
      <c r="B8" s="4"/>
      <c r="C8" s="4"/>
    </row>
    <row r="9" customFormat="false" ht="30" hidden="false" customHeight="true" outlineLevel="0" collapsed="false">
      <c r="A9" s="3" t="s">
        <v>5</v>
      </c>
      <c r="B9" s="3"/>
      <c r="C9" s="3"/>
    </row>
    <row r="10" customFormat="false" ht="30" hidden="false" customHeight="true" outlineLevel="0" collapsed="false">
      <c r="A10" s="3" t="s">
        <v>6</v>
      </c>
      <c r="B10" s="3"/>
      <c r="C10" s="3"/>
    </row>
    <row r="11" customFormat="false" ht="15" hidden="false" customHeight="true" outlineLevel="0" collapsed="false">
      <c r="A11" s="3" t="s">
        <v>7</v>
      </c>
      <c r="B11" s="3"/>
      <c r="C11" s="3"/>
    </row>
    <row r="12" customFormat="false" ht="15" hidden="false" customHeight="true" outlineLevel="0" collapsed="false">
      <c r="A12" s="3" t="s">
        <v>8</v>
      </c>
      <c r="B12" s="3"/>
      <c r="C12" s="3"/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4" t="s">
        <v>9</v>
      </c>
      <c r="B14" s="4"/>
      <c r="C14" s="4"/>
    </row>
    <row r="15" customFormat="false" ht="30" hidden="false" customHeight="true" outlineLevel="0" collapsed="false">
      <c r="A15" s="5" t="s">
        <v>10</v>
      </c>
      <c r="B15" s="5"/>
      <c r="C15" s="5"/>
    </row>
    <row r="16" customFormat="false" ht="30" hidden="false" customHeight="true" outlineLevel="0" collapsed="false">
      <c r="A16" s="3" t="s">
        <v>11</v>
      </c>
      <c r="B16" s="3"/>
      <c r="C16" s="3"/>
    </row>
    <row r="17" customFormat="false" ht="15" hidden="false" customHeight="true" outlineLevel="0" collapsed="false">
      <c r="A17" s="3"/>
      <c r="B17" s="3"/>
      <c r="C17" s="3"/>
    </row>
    <row r="18" customFormat="false" ht="15" hidden="false" customHeight="true" outlineLevel="0" collapsed="false">
      <c r="A18" s="4" t="s">
        <v>12</v>
      </c>
      <c r="B18" s="4"/>
      <c r="C18" s="4"/>
    </row>
    <row r="19" customFormat="false" ht="15" hidden="false" customHeight="true" outlineLevel="0" collapsed="false">
      <c r="A19" s="3" t="s">
        <v>13</v>
      </c>
      <c r="B19" s="3"/>
      <c r="C19" s="3"/>
    </row>
    <row r="20" customFormat="false" ht="15" hidden="false" customHeight="true" outlineLevel="0" collapsed="false">
      <c r="A20" s="3" t="s">
        <v>14</v>
      </c>
      <c r="B20" s="3"/>
      <c r="C20" s="3"/>
    </row>
    <row r="21" customFormat="false" ht="15" hidden="false" customHeight="true" outlineLevel="0" collapsed="false">
      <c r="A21" s="3"/>
      <c r="B21" s="3"/>
      <c r="C21" s="3"/>
    </row>
    <row r="22" customFormat="false" ht="15" hidden="false" customHeight="true" outlineLevel="0" collapsed="false">
      <c r="A22" s="4" t="s">
        <v>15</v>
      </c>
      <c r="B22" s="4"/>
      <c r="C22" s="4"/>
    </row>
    <row r="23" customFormat="false" ht="30" hidden="false" customHeight="true" outlineLevel="0" collapsed="false">
      <c r="A23" s="3" t="s">
        <v>16</v>
      </c>
      <c r="B23" s="3"/>
      <c r="C23" s="3"/>
    </row>
    <row r="24" customFormat="false" ht="15" hidden="false" customHeight="true" outlineLevel="0" collapsed="false">
      <c r="A24" s="3"/>
      <c r="B24" s="3"/>
      <c r="C24" s="3"/>
    </row>
    <row r="25" customFormat="false" ht="15" hidden="false" customHeight="true" outlineLevel="0" collapsed="false">
      <c r="A25" s="4" t="s">
        <v>17</v>
      </c>
      <c r="B25" s="4"/>
      <c r="C25" s="4"/>
    </row>
    <row r="26" customFormat="false" ht="15" hidden="false" customHeight="true" outlineLevel="0" collapsed="false">
      <c r="A26" s="3" t="s">
        <v>18</v>
      </c>
      <c r="B26" s="3"/>
      <c r="C26" s="3"/>
    </row>
  </sheetData>
  <mergeCells count="23"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44"/>
  </cols>
  <sheetData>
    <row r="1" customFormat="false" ht="16.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33.75" hidden="false" customHeight="tru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24</v>
      </c>
      <c r="G4" s="6" t="s">
        <v>26</v>
      </c>
      <c r="H4" s="6" t="s">
        <v>24</v>
      </c>
      <c r="I4" s="6" t="s">
        <v>27</v>
      </c>
      <c r="J4" s="6" t="s">
        <v>24</v>
      </c>
      <c r="K4" s="6" t="s">
        <v>28</v>
      </c>
      <c r="L4" s="6" t="s">
        <v>29</v>
      </c>
      <c r="M4" s="6" t="s">
        <v>30</v>
      </c>
      <c r="N4" s="6" t="s">
        <v>31</v>
      </c>
    </row>
    <row r="5" customFormat="false" ht="30" hidden="false" customHeight="true" outlineLevel="0" collapsed="false">
      <c r="A5" s="7" t="s">
        <v>32</v>
      </c>
      <c r="B5" s="8" t="s">
        <v>33</v>
      </c>
      <c r="C5" s="9" t="n">
        <v>35</v>
      </c>
      <c r="D5" s="9" t="n">
        <v>70</v>
      </c>
      <c r="E5" s="9" t="n">
        <v>45</v>
      </c>
      <c r="F5" s="9" t="n">
        <v>85</v>
      </c>
      <c r="G5" s="9" t="n">
        <v>40</v>
      </c>
      <c r="H5" s="9" t="n">
        <v>80</v>
      </c>
      <c r="I5" s="9" t="n">
        <v>10</v>
      </c>
      <c r="J5" s="9" t="n">
        <v>45</v>
      </c>
      <c r="K5" s="10" t="n">
        <f aca="false">(C5+D5)/2+(E5+F5)/2+(G5+H5)/2+(I5+J5)/2</f>
        <v>205</v>
      </c>
      <c r="L5" s="11" t="str">
        <f aca="false">IF(AND(K5&gt;=185,K5&lt;=215),"OK","REVISAR")</f>
        <v>OK</v>
      </c>
      <c r="M5" s="12" t="s">
        <v>34</v>
      </c>
      <c r="N5" s="13" t="s">
        <v>35</v>
      </c>
    </row>
    <row r="6" customFormat="false" ht="30" hidden="false" customHeight="true" outlineLevel="0" collapsed="false">
      <c r="A6" s="7"/>
      <c r="B6" s="8" t="s">
        <v>36</v>
      </c>
      <c r="C6" s="9" t="n">
        <v>35</v>
      </c>
      <c r="D6" s="9" t="n">
        <v>75</v>
      </c>
      <c r="E6" s="9" t="n">
        <v>25</v>
      </c>
      <c r="F6" s="9" t="n">
        <v>65</v>
      </c>
      <c r="G6" s="9" t="n">
        <v>50</v>
      </c>
      <c r="H6" s="9" t="n">
        <v>90</v>
      </c>
      <c r="I6" s="9" t="n">
        <v>10</v>
      </c>
      <c r="J6" s="9" t="n">
        <v>50</v>
      </c>
      <c r="K6" s="10" t="n">
        <f aca="false">(C6+D6)/2+(E6+F6)/2+(G6+H6)/2+(I6+J6)/2</f>
        <v>200</v>
      </c>
      <c r="L6" s="11" t="str">
        <f aca="false">IF(AND(K6&gt;=185,K6&lt;=215),"OK","REVISAR")</f>
        <v>OK</v>
      </c>
      <c r="M6" s="14" t="s">
        <v>37</v>
      </c>
      <c r="N6" s="13" t="s">
        <v>38</v>
      </c>
    </row>
    <row r="7" customFormat="false" ht="30" hidden="false" customHeight="true" outlineLevel="0" collapsed="false">
      <c r="A7" s="7"/>
      <c r="B7" s="8" t="s">
        <v>39</v>
      </c>
      <c r="C7" s="9" t="n">
        <v>10</v>
      </c>
      <c r="D7" s="9" t="n">
        <v>50</v>
      </c>
      <c r="E7" s="9" t="n">
        <v>40</v>
      </c>
      <c r="F7" s="9" t="n">
        <v>80</v>
      </c>
      <c r="G7" s="9" t="n">
        <v>45</v>
      </c>
      <c r="H7" s="9" t="n">
        <v>85</v>
      </c>
      <c r="I7" s="9" t="n">
        <v>30</v>
      </c>
      <c r="J7" s="9" t="n">
        <v>60</v>
      </c>
      <c r="K7" s="10" t="n">
        <f aca="false">(C7+D7)/2+(E7+F7)/2+(G7+H7)/2+(I7+J7)/2</f>
        <v>200</v>
      </c>
      <c r="L7" s="11" t="str">
        <f aca="false">IF(AND(K7&gt;=185,K7&lt;=215),"OK","REVISAR")</f>
        <v>OK</v>
      </c>
      <c r="M7" s="15" t="s">
        <v>40</v>
      </c>
      <c r="N7" s="13" t="s">
        <v>41</v>
      </c>
    </row>
    <row r="8" customFormat="false" ht="30" hidden="false" customHeight="true" outlineLevel="0" collapsed="false">
      <c r="A8" s="7" t="s">
        <v>42</v>
      </c>
      <c r="B8" s="8" t="s">
        <v>43</v>
      </c>
      <c r="C8" s="9" t="n">
        <v>20</v>
      </c>
      <c r="D8" s="9" t="n">
        <v>55</v>
      </c>
      <c r="E8" s="9" t="n">
        <v>50</v>
      </c>
      <c r="F8" s="9" t="n">
        <v>90</v>
      </c>
      <c r="G8" s="9" t="n">
        <v>45</v>
      </c>
      <c r="H8" s="9" t="n">
        <v>85</v>
      </c>
      <c r="I8" s="9" t="n">
        <v>10</v>
      </c>
      <c r="J8" s="9" t="n">
        <v>45</v>
      </c>
      <c r="K8" s="10" t="n">
        <f aca="false">(C8+D8)/2+(E8+F8)/2+(G8+H8)/2+(I8+J8)/2</f>
        <v>200</v>
      </c>
      <c r="L8" s="11" t="str">
        <f aca="false">IF(AND(K8&gt;=185,K8&lt;=215),"OK","REVISAR")</f>
        <v>OK</v>
      </c>
      <c r="M8" s="14" t="s">
        <v>37</v>
      </c>
      <c r="N8" s="13" t="s">
        <v>44</v>
      </c>
    </row>
    <row r="9" customFormat="false" ht="30" hidden="false" customHeight="true" outlineLevel="0" collapsed="false">
      <c r="A9" s="7"/>
      <c r="B9" s="8" t="s">
        <v>45</v>
      </c>
      <c r="C9" s="9" t="n">
        <v>50</v>
      </c>
      <c r="D9" s="9" t="n">
        <v>90</v>
      </c>
      <c r="E9" s="9" t="n">
        <v>25</v>
      </c>
      <c r="F9" s="9" t="n">
        <v>65</v>
      </c>
      <c r="G9" s="9" t="n">
        <v>20</v>
      </c>
      <c r="H9" s="9" t="n">
        <v>55</v>
      </c>
      <c r="I9" s="9" t="n">
        <v>30</v>
      </c>
      <c r="J9" s="9" t="n">
        <v>65</v>
      </c>
      <c r="K9" s="10" t="n">
        <f aca="false">(C9+D9)/2+(E9+F9)/2+(G9+H9)/2+(I9+J9)/2</f>
        <v>200</v>
      </c>
      <c r="L9" s="11" t="str">
        <f aca="false">IF(AND(K9&gt;=185,K9&lt;=215),"OK","REVISAR")</f>
        <v>OK</v>
      </c>
      <c r="M9" s="14" t="s">
        <v>37</v>
      </c>
      <c r="N9" s="13" t="s">
        <v>46</v>
      </c>
    </row>
    <row r="10" customFormat="false" ht="30" hidden="false" customHeight="true" outlineLevel="0" collapsed="false">
      <c r="A10" s="7"/>
      <c r="B10" s="8" t="s">
        <v>47</v>
      </c>
      <c r="C10" s="9" t="n">
        <v>35</v>
      </c>
      <c r="D10" s="9" t="n">
        <v>70</v>
      </c>
      <c r="E10" s="9" t="n">
        <v>15</v>
      </c>
      <c r="F10" s="9" t="n">
        <v>50</v>
      </c>
      <c r="G10" s="9" t="n">
        <v>40</v>
      </c>
      <c r="H10" s="9" t="n">
        <v>80</v>
      </c>
      <c r="I10" s="9" t="n">
        <v>40</v>
      </c>
      <c r="J10" s="9" t="n">
        <v>80</v>
      </c>
      <c r="K10" s="10" t="n">
        <f aca="false">(C10+D10)/2+(E10+F10)/2+(G10+H10)/2+(I10+J10)/2</f>
        <v>205</v>
      </c>
      <c r="L10" s="11" t="str">
        <f aca="false">IF(AND(K10&gt;=185,K10&lt;=215),"OK","REVISAR")</f>
        <v>OK</v>
      </c>
      <c r="M10" s="12" t="s">
        <v>34</v>
      </c>
      <c r="N10" s="13" t="s">
        <v>48</v>
      </c>
    </row>
    <row r="11" customFormat="false" ht="30" hidden="false" customHeight="true" outlineLevel="0" collapsed="false">
      <c r="A11" s="7" t="s">
        <v>49</v>
      </c>
      <c r="B11" s="8" t="s">
        <v>50</v>
      </c>
      <c r="C11" s="9" t="n">
        <v>30</v>
      </c>
      <c r="D11" s="9" t="n">
        <v>65</v>
      </c>
      <c r="E11" s="9" t="n">
        <v>50</v>
      </c>
      <c r="F11" s="9" t="n">
        <v>90</v>
      </c>
      <c r="G11" s="9" t="n">
        <v>30</v>
      </c>
      <c r="H11" s="9" t="n">
        <v>70</v>
      </c>
      <c r="I11" s="9" t="n">
        <v>10</v>
      </c>
      <c r="J11" s="9" t="n">
        <v>50</v>
      </c>
      <c r="K11" s="10" t="n">
        <f aca="false">(C11+D11)/2+(E11+F11)/2+(G11+H11)/2+(I11+J11)/2</f>
        <v>197.5</v>
      </c>
      <c r="L11" s="11" t="str">
        <f aca="false">IF(AND(K11&gt;=185,K11&lt;=215),"OK","REVISAR")</f>
        <v>OK</v>
      </c>
      <c r="M11" s="14" t="s">
        <v>37</v>
      </c>
      <c r="N11" s="13" t="s">
        <v>51</v>
      </c>
    </row>
    <row r="12" customFormat="false" ht="30" hidden="false" customHeight="true" outlineLevel="0" collapsed="false">
      <c r="A12" s="7"/>
      <c r="B12" s="8" t="s">
        <v>52</v>
      </c>
      <c r="C12" s="9" t="n">
        <v>35</v>
      </c>
      <c r="D12" s="9" t="n">
        <v>70</v>
      </c>
      <c r="E12" s="9" t="n">
        <v>55</v>
      </c>
      <c r="F12" s="9" t="n">
        <v>95</v>
      </c>
      <c r="G12" s="9" t="n">
        <v>25</v>
      </c>
      <c r="H12" s="9" t="n">
        <v>60</v>
      </c>
      <c r="I12" s="9" t="n">
        <v>10</v>
      </c>
      <c r="J12" s="9" t="n">
        <v>45</v>
      </c>
      <c r="K12" s="10" t="n">
        <f aca="false">(C12+D12)/2+(E12+F12)/2+(G12+H12)/2+(I12+J12)/2</f>
        <v>197.5</v>
      </c>
      <c r="L12" s="11" t="str">
        <f aca="false">IF(AND(K12&gt;=185,K12&lt;=215),"OK","REVISAR")</f>
        <v>OK</v>
      </c>
      <c r="M12" s="14" t="s">
        <v>37</v>
      </c>
      <c r="N12" s="13" t="s">
        <v>53</v>
      </c>
    </row>
    <row r="13" customFormat="false" ht="30" hidden="false" customHeight="true" outlineLevel="0" collapsed="false">
      <c r="A13" s="7"/>
      <c r="B13" s="8" t="s">
        <v>54</v>
      </c>
      <c r="C13" s="9" t="n">
        <v>45</v>
      </c>
      <c r="D13" s="9" t="n">
        <v>85</v>
      </c>
      <c r="E13" s="9" t="n">
        <v>50</v>
      </c>
      <c r="F13" s="9" t="n">
        <v>90</v>
      </c>
      <c r="G13" s="9" t="n">
        <v>10</v>
      </c>
      <c r="H13" s="9" t="n">
        <v>45</v>
      </c>
      <c r="I13" s="9" t="n">
        <v>25</v>
      </c>
      <c r="J13" s="9" t="n">
        <v>60</v>
      </c>
      <c r="K13" s="10" t="n">
        <f aca="false">(C13+D13)/2+(E13+F13)/2+(G13+H13)/2+(I13+J13)/2</f>
        <v>205</v>
      </c>
      <c r="L13" s="11" t="str">
        <f aca="false">IF(AND(K13&gt;=185,K13&lt;=215),"OK","REVISAR")</f>
        <v>OK</v>
      </c>
      <c r="M13" s="14" t="s">
        <v>37</v>
      </c>
      <c r="N13" s="13" t="s">
        <v>55</v>
      </c>
    </row>
    <row r="14" customFormat="false" ht="30" hidden="false" customHeight="true" outlineLevel="0" collapsed="false">
      <c r="A14" s="7" t="s">
        <v>56</v>
      </c>
      <c r="B14" s="8" t="s">
        <v>57</v>
      </c>
      <c r="C14" s="9" t="n">
        <v>55</v>
      </c>
      <c r="D14" s="9" t="n">
        <v>95</v>
      </c>
      <c r="E14" s="9" t="n">
        <v>35</v>
      </c>
      <c r="F14" s="9" t="n">
        <v>75</v>
      </c>
      <c r="G14" s="9" t="n">
        <v>20</v>
      </c>
      <c r="H14" s="9" t="n">
        <v>55</v>
      </c>
      <c r="I14" s="9" t="n">
        <v>10</v>
      </c>
      <c r="J14" s="9" t="n">
        <v>45</v>
      </c>
      <c r="K14" s="10" t="n">
        <f aca="false">(C14+D14)/2+(E14+F14)/2+(G14+H14)/2+(I14+J14)/2</f>
        <v>195</v>
      </c>
      <c r="L14" s="11" t="str">
        <f aca="false">IF(AND(K14&gt;=185,K14&lt;=215),"OK","REVISAR")</f>
        <v>OK</v>
      </c>
      <c r="M14" s="14" t="s">
        <v>37</v>
      </c>
      <c r="N14" s="13" t="s">
        <v>58</v>
      </c>
    </row>
    <row r="15" customFormat="false" ht="30" hidden="false" customHeight="true" outlineLevel="0" collapsed="false">
      <c r="A15" s="7"/>
      <c r="B15" s="8" t="s">
        <v>59</v>
      </c>
      <c r="C15" s="9" t="n">
        <v>15</v>
      </c>
      <c r="D15" s="9" t="n">
        <v>50</v>
      </c>
      <c r="E15" s="9" t="n">
        <v>20</v>
      </c>
      <c r="F15" s="9" t="n">
        <v>55</v>
      </c>
      <c r="G15" s="9" t="n">
        <v>40</v>
      </c>
      <c r="H15" s="9" t="n">
        <v>80</v>
      </c>
      <c r="I15" s="9" t="n">
        <v>50</v>
      </c>
      <c r="J15" s="9" t="n">
        <v>90</v>
      </c>
      <c r="K15" s="10" t="n">
        <f aca="false">(C15+D15)/2+(E15+F15)/2+(G15+H15)/2+(I15+J15)/2</f>
        <v>200</v>
      </c>
      <c r="L15" s="11" t="str">
        <f aca="false">IF(AND(K15&gt;=185,K15&lt;=215),"OK","REVISAR")</f>
        <v>OK</v>
      </c>
      <c r="M15" s="14" t="s">
        <v>37</v>
      </c>
      <c r="N15" s="13" t="s">
        <v>60</v>
      </c>
    </row>
    <row r="16" customFormat="false" ht="30" hidden="false" customHeight="true" outlineLevel="0" collapsed="false">
      <c r="A16" s="7"/>
      <c r="B16" s="8" t="s">
        <v>61</v>
      </c>
      <c r="C16" s="9" t="n">
        <v>45</v>
      </c>
      <c r="D16" s="9" t="n">
        <v>85</v>
      </c>
      <c r="E16" s="9" t="n">
        <v>45</v>
      </c>
      <c r="F16" s="9" t="n">
        <v>85</v>
      </c>
      <c r="G16" s="9" t="n">
        <v>30</v>
      </c>
      <c r="H16" s="9" t="n">
        <v>65</v>
      </c>
      <c r="I16" s="9" t="n">
        <v>10</v>
      </c>
      <c r="J16" s="9" t="n">
        <v>45</v>
      </c>
      <c r="K16" s="10" t="n">
        <f aca="false">(C16+D16)/2+(E16+F16)/2+(G16+H16)/2+(I16+J16)/2</f>
        <v>205</v>
      </c>
      <c r="L16" s="11" t="str">
        <f aca="false">IF(AND(K16&gt;=185,K16&lt;=215),"OK","REVISAR")</f>
        <v>OK</v>
      </c>
      <c r="M16" s="12" t="s">
        <v>34</v>
      </c>
      <c r="N16" s="13" t="s">
        <v>62</v>
      </c>
    </row>
    <row r="18" customFormat="false" ht="30" hidden="false" customHeight="true" outlineLevel="0" collapsed="false">
      <c r="A18" s="16" t="s">
        <v>63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</sheetData>
  <mergeCells count="1">
    <mergeCell ref="A18:N18"/>
  </mergeCells>
  <conditionalFormatting sqref="L5:L16">
    <cfRule type="cellIs" priority="2" operator="equal" aboveAverage="0" equalAverage="0" bottom="0" percent="0" rank="0" text="" dxfId="0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6" t="s">
        <v>22</v>
      </c>
      <c r="B4" s="6" t="s">
        <v>66</v>
      </c>
      <c r="C4" s="6" t="s">
        <v>67</v>
      </c>
      <c r="D4" s="6" t="s">
        <v>68</v>
      </c>
      <c r="E4" s="6" t="s">
        <v>69</v>
      </c>
    </row>
    <row r="5" customFormat="false" ht="27.75" hidden="false" customHeight="true" outlineLevel="0" collapsed="false">
      <c r="A5" s="8" t="s">
        <v>33</v>
      </c>
      <c r="B5" s="17" t="s">
        <v>70</v>
      </c>
      <c r="C5" s="18" t="s">
        <v>71</v>
      </c>
      <c r="D5" s="19" t="s">
        <v>72</v>
      </c>
      <c r="E5" s="20" t="s">
        <v>73</v>
      </c>
    </row>
    <row r="6" customFormat="false" ht="27.75" hidden="false" customHeight="true" outlineLevel="0" collapsed="false">
      <c r="A6" s="8" t="s">
        <v>36</v>
      </c>
      <c r="B6" s="17" t="s">
        <v>74</v>
      </c>
      <c r="C6" s="18" t="s">
        <v>75</v>
      </c>
      <c r="D6" s="19" t="s">
        <v>76</v>
      </c>
      <c r="E6" s="20" t="s">
        <v>77</v>
      </c>
    </row>
    <row r="7" customFormat="false" ht="27.75" hidden="false" customHeight="true" outlineLevel="0" collapsed="false">
      <c r="A7" s="8" t="s">
        <v>39</v>
      </c>
      <c r="B7" s="17" t="s">
        <v>78</v>
      </c>
      <c r="C7" s="18" t="s">
        <v>79</v>
      </c>
      <c r="D7" s="19" t="s">
        <v>80</v>
      </c>
      <c r="E7" s="20" t="s">
        <v>81</v>
      </c>
    </row>
    <row r="8" customFormat="false" ht="27.75" hidden="false" customHeight="true" outlineLevel="0" collapsed="false">
      <c r="A8" s="8" t="s">
        <v>43</v>
      </c>
      <c r="B8" s="17" t="s">
        <v>82</v>
      </c>
      <c r="C8" s="18" t="s">
        <v>83</v>
      </c>
      <c r="D8" s="19" t="s">
        <v>84</v>
      </c>
      <c r="E8" s="20" t="s">
        <v>85</v>
      </c>
    </row>
    <row r="9" customFormat="false" ht="27.75" hidden="false" customHeight="true" outlineLevel="0" collapsed="false">
      <c r="A9" s="8" t="s">
        <v>45</v>
      </c>
      <c r="B9" s="17" t="s">
        <v>70</v>
      </c>
      <c r="C9" s="18" t="s">
        <v>86</v>
      </c>
      <c r="D9" s="19" t="s">
        <v>87</v>
      </c>
      <c r="E9" s="20" t="s">
        <v>88</v>
      </c>
    </row>
    <row r="10" customFormat="false" ht="27.75" hidden="false" customHeight="true" outlineLevel="0" collapsed="false">
      <c r="A10" s="8" t="s">
        <v>47</v>
      </c>
      <c r="B10" s="17" t="s">
        <v>82</v>
      </c>
      <c r="C10" s="18" t="s">
        <v>89</v>
      </c>
      <c r="D10" s="19" t="s">
        <v>90</v>
      </c>
      <c r="E10" s="20" t="s">
        <v>91</v>
      </c>
    </row>
    <row r="11" customFormat="false" ht="27.75" hidden="false" customHeight="true" outlineLevel="0" collapsed="false">
      <c r="A11" s="8" t="s">
        <v>50</v>
      </c>
      <c r="B11" s="17" t="s">
        <v>70</v>
      </c>
      <c r="C11" s="18" t="s">
        <v>92</v>
      </c>
      <c r="D11" s="19" t="s">
        <v>93</v>
      </c>
      <c r="E11" s="20" t="s">
        <v>94</v>
      </c>
    </row>
    <row r="12" customFormat="false" ht="27.75" hidden="false" customHeight="true" outlineLevel="0" collapsed="false">
      <c r="A12" s="8" t="s">
        <v>52</v>
      </c>
      <c r="B12" s="17" t="s">
        <v>82</v>
      </c>
      <c r="C12" s="18" t="s">
        <v>95</v>
      </c>
      <c r="D12" s="19" t="s">
        <v>96</v>
      </c>
      <c r="E12" s="20" t="s">
        <v>97</v>
      </c>
    </row>
    <row r="13" customFormat="false" ht="27.75" hidden="false" customHeight="true" outlineLevel="0" collapsed="false">
      <c r="A13" s="8" t="s">
        <v>54</v>
      </c>
      <c r="B13" s="17" t="s">
        <v>78</v>
      </c>
      <c r="C13" s="18" t="s">
        <v>98</v>
      </c>
      <c r="D13" s="19" t="s">
        <v>99</v>
      </c>
      <c r="E13" s="20" t="s">
        <v>100</v>
      </c>
    </row>
    <row r="14" customFormat="false" ht="27.75" hidden="false" customHeight="true" outlineLevel="0" collapsed="false">
      <c r="A14" s="8" t="s">
        <v>57</v>
      </c>
      <c r="B14" s="17" t="s">
        <v>78</v>
      </c>
      <c r="C14" s="18" t="s">
        <v>101</v>
      </c>
      <c r="D14" s="19" t="s">
        <v>102</v>
      </c>
      <c r="E14" s="20" t="s">
        <v>103</v>
      </c>
    </row>
    <row r="15" customFormat="false" ht="27.75" hidden="false" customHeight="true" outlineLevel="0" collapsed="false">
      <c r="A15" s="8" t="s">
        <v>59</v>
      </c>
      <c r="B15" s="17" t="s">
        <v>70</v>
      </c>
      <c r="C15" s="18" t="s">
        <v>104</v>
      </c>
      <c r="D15" s="19" t="s">
        <v>105</v>
      </c>
      <c r="E15" s="20" t="s">
        <v>106</v>
      </c>
    </row>
    <row r="16" customFormat="false" ht="27.75" hidden="false" customHeight="true" outlineLevel="0" collapsed="false">
      <c r="A16" s="8" t="s">
        <v>61</v>
      </c>
      <c r="B16" s="17" t="s">
        <v>70</v>
      </c>
      <c r="C16" s="18" t="s">
        <v>107</v>
      </c>
      <c r="D16" s="19" t="s">
        <v>108</v>
      </c>
      <c r="E16" s="20" t="s">
        <v>109</v>
      </c>
    </row>
    <row r="19" customFormat="false" ht="15" hidden="false" customHeight="false" outlineLevel="0" collapsed="false">
      <c r="A19" s="21" t="s">
        <v>110</v>
      </c>
    </row>
    <row r="21" customFormat="false" ht="25.5" hidden="false" customHeight="true" outlineLevel="0" collapsed="false">
      <c r="A21" s="8" t="s">
        <v>111</v>
      </c>
      <c r="B21" s="22" t="s">
        <v>112</v>
      </c>
      <c r="C21" s="22"/>
      <c r="D21" s="22"/>
      <c r="E21" s="22"/>
    </row>
    <row r="22" customFormat="false" ht="25.5" hidden="false" customHeight="true" outlineLevel="0" collapsed="false">
      <c r="A22" s="8" t="s">
        <v>113</v>
      </c>
      <c r="B22" s="22" t="s">
        <v>114</v>
      </c>
      <c r="C22" s="22"/>
      <c r="D22" s="22"/>
      <c r="E22" s="22"/>
    </row>
    <row r="23" customFormat="false" ht="25.5" hidden="false" customHeight="true" outlineLevel="0" collapsed="false">
      <c r="A23" s="8" t="s">
        <v>115</v>
      </c>
      <c r="B23" s="22" t="s">
        <v>116</v>
      </c>
      <c r="C23" s="22"/>
      <c r="D23" s="22"/>
      <c r="E23" s="22"/>
    </row>
    <row r="24" customFormat="false" ht="25.5" hidden="false" customHeight="true" outlineLevel="0" collapsed="false">
      <c r="A24" s="8" t="s">
        <v>117</v>
      </c>
      <c r="B24" s="22" t="s">
        <v>118</v>
      </c>
      <c r="C24" s="22"/>
      <c r="D24" s="22"/>
      <c r="E24" s="22"/>
    </row>
    <row r="25" customFormat="false" ht="25.5" hidden="false" customHeight="true" outlineLevel="0" collapsed="false">
      <c r="A25" s="8" t="s">
        <v>119</v>
      </c>
      <c r="B25" s="22" t="s">
        <v>120</v>
      </c>
      <c r="C25" s="22"/>
      <c r="D25" s="22"/>
      <c r="E25" s="22"/>
    </row>
    <row r="26" customFormat="false" ht="25.5" hidden="false" customHeight="true" outlineLevel="0" collapsed="false">
      <c r="A26" s="8" t="s">
        <v>121</v>
      </c>
      <c r="B26" s="22" t="s">
        <v>122</v>
      </c>
      <c r="C26" s="22"/>
      <c r="D26" s="22"/>
      <c r="E26" s="22"/>
    </row>
  </sheetData>
  <mergeCells count="6">
    <mergeCell ref="B21:E21"/>
    <mergeCell ref="B22:E22"/>
    <mergeCell ref="B23:E23"/>
    <mergeCell ref="B24:E24"/>
    <mergeCell ref="B25:E25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48"/>
  </cols>
  <sheetData>
    <row r="1" customFormat="false" ht="16.1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6" t="s">
        <v>125</v>
      </c>
      <c r="B4" s="6" t="s">
        <v>126</v>
      </c>
      <c r="C4" s="6" t="s">
        <v>127</v>
      </c>
      <c r="D4" s="6" t="s">
        <v>128</v>
      </c>
    </row>
    <row r="5" customFormat="false" ht="37.5" hidden="false" customHeight="true" outlineLevel="0" collapsed="false">
      <c r="A5" s="23" t="s">
        <v>129</v>
      </c>
      <c r="B5" s="8" t="s">
        <v>130</v>
      </c>
      <c r="C5" s="24" t="s">
        <v>131</v>
      </c>
      <c r="D5" s="24" t="s">
        <v>132</v>
      </c>
    </row>
    <row r="6" customFormat="false" ht="37.5" hidden="false" customHeight="true" outlineLevel="0" collapsed="false">
      <c r="A6" s="23" t="s">
        <v>133</v>
      </c>
      <c r="B6" s="8" t="s">
        <v>134</v>
      </c>
      <c r="C6" s="24" t="s">
        <v>135</v>
      </c>
      <c r="D6" s="24" t="s">
        <v>136</v>
      </c>
    </row>
    <row r="7" customFormat="false" ht="37.5" hidden="false" customHeight="true" outlineLevel="0" collapsed="false">
      <c r="A7" s="23" t="s">
        <v>137</v>
      </c>
      <c r="B7" s="8" t="s">
        <v>138</v>
      </c>
      <c r="C7" s="24" t="s">
        <v>139</v>
      </c>
      <c r="D7" s="24" t="s">
        <v>140</v>
      </c>
    </row>
    <row r="8" customFormat="false" ht="37.5" hidden="false" customHeight="true" outlineLevel="0" collapsed="false">
      <c r="A8" s="23" t="s">
        <v>141</v>
      </c>
      <c r="B8" s="8" t="s">
        <v>142</v>
      </c>
      <c r="C8" s="24" t="s">
        <v>143</v>
      </c>
      <c r="D8" s="24" t="s">
        <v>144</v>
      </c>
    </row>
    <row r="9" customFormat="false" ht="37.5" hidden="false" customHeight="true" outlineLevel="0" collapsed="false">
      <c r="A9" s="23" t="s">
        <v>145</v>
      </c>
      <c r="B9" s="8" t="s">
        <v>146</v>
      </c>
      <c r="C9" s="24" t="s">
        <v>147</v>
      </c>
      <c r="D9" s="24" t="s">
        <v>148</v>
      </c>
    </row>
    <row r="10" customFormat="false" ht="37.5" hidden="false" customHeight="true" outlineLevel="0" collapsed="false">
      <c r="A10" s="23" t="s">
        <v>149</v>
      </c>
      <c r="B10" s="8" t="s">
        <v>150</v>
      </c>
      <c r="C10" s="24" t="s">
        <v>151</v>
      </c>
      <c r="D10" s="24" t="s">
        <v>152</v>
      </c>
    </row>
    <row r="13" customFormat="false" ht="15" hidden="false" customHeight="false" outlineLevel="0" collapsed="false">
      <c r="A13" s="21" t="s">
        <v>153</v>
      </c>
    </row>
    <row r="15" customFormat="false" ht="15" hidden="false" customHeight="true" outlineLevel="0" collapsed="false">
      <c r="A15" s="3" t="s">
        <v>154</v>
      </c>
      <c r="B15" s="3"/>
      <c r="C15" s="3"/>
      <c r="D15" s="3"/>
    </row>
    <row r="16" customFormat="false" ht="15" hidden="false" customHeight="true" outlineLevel="0" collapsed="false">
      <c r="A16" s="3" t="s">
        <v>155</v>
      </c>
      <c r="B16" s="3"/>
      <c r="C16" s="3"/>
      <c r="D16" s="3"/>
    </row>
    <row r="17" customFormat="false" ht="30" hidden="false" customHeight="true" outlineLevel="0" collapsed="false">
      <c r="A17" s="3" t="s">
        <v>156</v>
      </c>
      <c r="B17" s="3"/>
      <c r="C17" s="3"/>
      <c r="D17" s="3"/>
    </row>
    <row r="18" customFormat="false" ht="30" hidden="false" customHeight="true" outlineLevel="0" collapsed="false">
      <c r="A18" s="5" t="s">
        <v>157</v>
      </c>
      <c r="B18" s="5"/>
      <c r="C18" s="5"/>
      <c r="D18" s="5"/>
    </row>
  </sheetData>
  <mergeCells count="4"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6"/>
  </cols>
  <sheetData>
    <row r="1" customFormat="false" ht="16.15" hidden="false" customHeight="false" outlineLevel="0" collapsed="false">
      <c r="A1" s="1" t="s">
        <v>158</v>
      </c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4" t="s">
        <v>159</v>
      </c>
      <c r="B4" s="4"/>
      <c r="C4" s="4"/>
    </row>
    <row r="5" customFormat="false" ht="30" hidden="false" customHeight="true" outlineLevel="0" collapsed="false">
      <c r="A5" s="3" t="s">
        <v>160</v>
      </c>
      <c r="B5" s="3"/>
      <c r="C5" s="3"/>
    </row>
    <row r="6" customFormat="false" ht="15" hidden="false" customHeight="true" outlineLevel="0" collapsed="false">
      <c r="A6" s="3"/>
      <c r="B6" s="3"/>
      <c r="C6" s="3"/>
    </row>
    <row r="7" customFormat="false" ht="15" hidden="false" customHeight="true" outlineLevel="0" collapsed="false">
      <c r="A7" s="4" t="s">
        <v>161</v>
      </c>
      <c r="B7" s="4"/>
      <c r="C7" s="4"/>
    </row>
    <row r="8" customFormat="false" ht="15" hidden="false" customHeight="true" outlineLevel="0" collapsed="false">
      <c r="A8" s="3" t="s">
        <v>162</v>
      </c>
      <c r="B8" s="3"/>
      <c r="C8" s="3"/>
    </row>
    <row r="9" customFormat="false" ht="15" hidden="false" customHeight="true" outlineLevel="0" collapsed="false">
      <c r="A9" s="3" t="s">
        <v>163</v>
      </c>
      <c r="B9" s="3"/>
      <c r="C9" s="3"/>
    </row>
    <row r="10" customFormat="false" ht="15" hidden="false" customHeight="true" outlineLevel="0" collapsed="false">
      <c r="A10" s="3" t="s">
        <v>164</v>
      </c>
      <c r="B10" s="3"/>
      <c r="C10" s="3"/>
    </row>
    <row r="11" customFormat="false" ht="15" hidden="false" customHeight="true" outlineLevel="0" collapsed="false">
      <c r="A11" s="3"/>
      <c r="B11" s="3"/>
      <c r="C11" s="3"/>
    </row>
    <row r="12" customFormat="false" ht="15" hidden="false" customHeight="true" outlineLevel="0" collapsed="false">
      <c r="A12" s="4" t="s">
        <v>165</v>
      </c>
      <c r="B12" s="4"/>
      <c r="C12" s="4"/>
    </row>
    <row r="13" customFormat="false" ht="30" hidden="false" customHeight="true" outlineLevel="0" collapsed="false">
      <c r="A13" s="5" t="s">
        <v>166</v>
      </c>
      <c r="B13" s="5"/>
      <c r="C13" s="5"/>
    </row>
    <row r="14" customFormat="false" ht="30" hidden="false" customHeight="true" outlineLevel="0" collapsed="false">
      <c r="A14" s="3" t="s">
        <v>167</v>
      </c>
      <c r="B14" s="3"/>
      <c r="C14" s="3"/>
    </row>
    <row r="15" customFormat="false" ht="15" hidden="false" customHeight="true" outlineLevel="0" collapsed="false">
      <c r="A15" s="3"/>
      <c r="B15" s="3"/>
      <c r="C15" s="3"/>
    </row>
    <row r="16" customFormat="false" ht="15" hidden="false" customHeight="true" outlineLevel="0" collapsed="false">
      <c r="A16" s="4" t="s">
        <v>168</v>
      </c>
      <c r="B16" s="4"/>
      <c r="C16" s="4"/>
    </row>
    <row r="17" customFormat="false" ht="30" hidden="false" customHeight="true" outlineLevel="0" collapsed="false">
      <c r="A17" s="3" t="s">
        <v>169</v>
      </c>
      <c r="B17" s="3"/>
      <c r="C17" s="3"/>
    </row>
  </sheetData>
  <mergeCells count="15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2026-08-16T02:27:48Z</dcterms:created>
  <dc:creator>openpyxl</dc:creator>
  <dc:description/>
  <dc:language>en-US</dc:language>
  <cp:lastModifiedBy/>
  <dcterms:modified xsi:type="dcterms:W3CDTF">2026-08-16T02:27:48Z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